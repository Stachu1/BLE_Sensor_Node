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BA.OJ\Documents\KiCad\10.0\projects\BLE_Sensor_Node\hardware\panel\"/>
    </mc:Choice>
  </mc:AlternateContent>
  <xr:revisionPtr revIDLastSave="0" documentId="13_ncr:1_{95258300-1CA6-4249-91B0-242F2E3EB41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mbined 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8" i="1" l="1"/>
  <c r="L48" i="1"/>
  <c r="O47" i="1"/>
  <c r="L47" i="1"/>
  <c r="O46" i="1"/>
  <c r="L46" i="1"/>
  <c r="O45" i="1"/>
  <c r="L45" i="1"/>
  <c r="O44" i="1"/>
  <c r="L44" i="1"/>
  <c r="O43" i="1"/>
  <c r="L43" i="1"/>
  <c r="O42" i="1"/>
  <c r="L42" i="1"/>
  <c r="O41" i="1"/>
  <c r="O49" i="1" s="1"/>
  <c r="L41" i="1"/>
  <c r="O35" i="1"/>
  <c r="L35" i="1"/>
  <c r="O34" i="1"/>
  <c r="L34" i="1"/>
  <c r="O33" i="1"/>
  <c r="L33" i="1"/>
  <c r="O32" i="1"/>
  <c r="L32" i="1"/>
  <c r="O31" i="1"/>
  <c r="L31" i="1"/>
  <c r="O30" i="1"/>
  <c r="L30" i="1"/>
  <c r="O29" i="1"/>
  <c r="L29" i="1"/>
  <c r="O28" i="1"/>
  <c r="L28" i="1"/>
  <c r="O27" i="1"/>
  <c r="L27" i="1"/>
  <c r="O26" i="1"/>
  <c r="L26" i="1"/>
  <c r="O25" i="1"/>
  <c r="L25" i="1"/>
  <c r="O24" i="1"/>
  <c r="L24" i="1"/>
  <c r="O23" i="1"/>
  <c r="L23" i="1"/>
  <c r="O22" i="1"/>
  <c r="L22" i="1"/>
  <c r="O21" i="1"/>
  <c r="L21" i="1"/>
  <c r="O20" i="1"/>
  <c r="L20" i="1"/>
  <c r="O19" i="1"/>
  <c r="L19" i="1"/>
  <c r="O18" i="1"/>
  <c r="L18" i="1"/>
  <c r="O17" i="1"/>
  <c r="L17" i="1"/>
  <c r="O16" i="1"/>
  <c r="L16" i="1"/>
  <c r="O15" i="1"/>
  <c r="L15" i="1"/>
  <c r="O14" i="1"/>
  <c r="L14" i="1"/>
  <c r="O13" i="1"/>
  <c r="L13" i="1"/>
  <c r="O36" i="1" l="1"/>
  <c r="O51" i="1" s="1"/>
</calcChain>
</file>

<file path=xl/sharedStrings.xml><?xml version="1.0" encoding="utf-8"?>
<sst xmlns="http://schemas.openxmlformats.org/spreadsheetml/2006/main" count="259" uniqueCount="194">
  <si>
    <t>BLE Sensor Node - combined BOM (BSN-C23 + BSN-N54)</t>
  </si>
  <si>
    <t>Generated from hardware/C23/BSN-C23.csv and hardware/N54/BSN-N54.csv. DNP-only parts (no part number) are not included.</t>
  </si>
  <si>
    <t>Boards to build</t>
  </si>
  <si>
    <t>BSN-C23 boards</t>
  </si>
  <si>
    <t>Default 2 = one panel (2x C23 + 2x N54, see panel/panelize.py). Change to match the order.</t>
  </si>
  <si>
    <t>BSN-N54 boards</t>
  </si>
  <si>
    <t>How to use</t>
  </si>
  <si>
    <t>Yellow cells are for you to fill in: board counts above, Order qty and Unit price in the tables. Required qty = qty per board x boards to build. Total price = Order qty x Unit price.</t>
  </si>
  <si>
    <t>Table 1 - DigiKey parts</t>
  </si>
  <si>
    <t>#</t>
  </si>
  <si>
    <t>DigiKey PN</t>
  </si>
  <si>
    <t>Manufacturer</t>
  </si>
  <si>
    <t>MPN</t>
  </si>
  <si>
    <t>Value</t>
  </si>
  <si>
    <t>Package</t>
  </si>
  <si>
    <t>Description</t>
  </si>
  <si>
    <t>C23 refs</t>
  </si>
  <si>
    <t>C23 qty/board</t>
  </si>
  <si>
    <t>N54 refs</t>
  </si>
  <si>
    <t>N54 qty/board</t>
  </si>
  <si>
    <t>Required qty</t>
  </si>
  <si>
    <t>Order qty</t>
  </si>
  <si>
    <t>Unit price</t>
  </si>
  <si>
    <t>Total price</t>
  </si>
  <si>
    <t>Notes</t>
  </si>
  <si>
    <t>490-11248-1-ND</t>
  </si>
  <si>
    <t>Murata</t>
  </si>
  <si>
    <t>GJM1555C1HR30WB01D</t>
  </si>
  <si>
    <t>0.3p</t>
  </si>
  <si>
    <t>0402</t>
  </si>
  <si>
    <t>Cap 0.3pF 50V C0G</t>
  </si>
  <si>
    <t>C16</t>
  </si>
  <si>
    <t>490-8087-1-ND</t>
  </si>
  <si>
    <t>GJM1555C1H1R5BB01D</t>
  </si>
  <si>
    <t>1.5p</t>
  </si>
  <si>
    <t>Cap 1.5pF 50V C0G</t>
  </si>
  <si>
    <t>C7,C8</t>
  </si>
  <si>
    <t>C14</t>
  </si>
  <si>
    <t>GRM21BR60J107ME15K</t>
  </si>
  <si>
    <t>100u</t>
  </si>
  <si>
    <t>0805</t>
  </si>
  <si>
    <t>Cap 100uF 6.3V X5R</t>
  </si>
  <si>
    <t>C5</t>
  </si>
  <si>
    <t>C10</t>
  </si>
  <si>
    <t>490-4516-1-ND</t>
  </si>
  <si>
    <t>GRM155R71H103KA88D</t>
  </si>
  <si>
    <t>10n</t>
  </si>
  <si>
    <t>Cap 10nF 50V X7R</t>
  </si>
  <si>
    <t>C8,C9</t>
  </si>
  <si>
    <t>490-11191-1-ND</t>
  </si>
  <si>
    <t>GJM1555C1H150FB01D</t>
  </si>
  <si>
    <t>15p</t>
  </si>
  <si>
    <t>Cap 15pF 50V C0G</t>
  </si>
  <si>
    <t>C6</t>
  </si>
  <si>
    <t>490-11205-1-ND</t>
  </si>
  <si>
    <t>GJM1555C1H2R0WB01D</t>
  </si>
  <si>
    <t>2.0p</t>
  </si>
  <si>
    <t>Cap 2.0pF 50V C0G</t>
  </si>
  <si>
    <t>C15</t>
  </si>
  <si>
    <t>445-9028-1-ND</t>
  </si>
  <si>
    <t>TDK</t>
  </si>
  <si>
    <t>C1005X5R1V225K050BC</t>
  </si>
  <si>
    <t>2.2u</t>
  </si>
  <si>
    <t>Cap 2.2uF 35V X5R</t>
  </si>
  <si>
    <t>C6,C7</t>
  </si>
  <si>
    <t>490-15398-1-ND</t>
  </si>
  <si>
    <t>LQW15AN2N7G8ZD</t>
  </si>
  <si>
    <t>2.7n</t>
  </si>
  <si>
    <t>Inductor 2.7nH RF</t>
  </si>
  <si>
    <t>L2</t>
  </si>
  <si>
    <t>490-LQW15AN2N8G80DCT-ND</t>
  </si>
  <si>
    <t>LQW15AN2N8G80D</t>
  </si>
  <si>
    <t>2.8n</t>
  </si>
  <si>
    <t>Inductor 2.8nH RF</t>
  </si>
  <si>
    <t>L1</t>
  </si>
  <si>
    <t>490-15430-1-ND</t>
  </si>
  <si>
    <t>LQW15AN3N5G8ZD</t>
  </si>
  <si>
    <t>3.5n</t>
  </si>
  <si>
    <t>Inductor 3.5nH RF</t>
  </si>
  <si>
    <t>L3,L4</t>
  </si>
  <si>
    <t>728-1074-1-ND</t>
  </si>
  <si>
    <t>Seiko Instruments</t>
  </si>
  <si>
    <t>SC32S-7PF20PPM</t>
  </si>
  <si>
    <t>32.768kHz</t>
  </si>
  <si>
    <t>3.2x1.5mm 2-pad</t>
  </si>
  <si>
    <t>Crystal 32.768kHz</t>
  </si>
  <si>
    <t>X2</t>
  </si>
  <si>
    <t>478-CX3225FB32000C0FZZH1CT-ND</t>
  </si>
  <si>
    <t>Kyocera AVX</t>
  </si>
  <si>
    <t>CX3225FB32000C0FZZH1</t>
  </si>
  <si>
    <t>32MHz</t>
  </si>
  <si>
    <t>3.2x2.5mm 4-pad</t>
  </si>
  <si>
    <t>Crystal 32MHz</t>
  </si>
  <si>
    <t>X1</t>
  </si>
  <si>
    <t>490-12065-1-ND</t>
  </si>
  <si>
    <t>LQM18PN4R7MFRL</t>
  </si>
  <si>
    <t>4.7u</t>
  </si>
  <si>
    <t>0603</t>
  </si>
  <si>
    <t>Inductor 4.7uH</t>
  </si>
  <si>
    <t>50-ECS-480-8-33B-CWN-TR3CT-ND</t>
  </si>
  <si>
    <t>ECS Inc.</t>
  </si>
  <si>
    <t>ECS-480-8-33B-CWN-TR3</t>
  </si>
  <si>
    <t>48MHz</t>
  </si>
  <si>
    <t>Crystal 48MHz</t>
  </si>
  <si>
    <t>LQW15AN6N7B00D</t>
  </si>
  <si>
    <t>6.7n</t>
  </si>
  <si>
    <t>Inductor 6.7nH RF</t>
  </si>
  <si>
    <t>L6</t>
  </si>
  <si>
    <t>490-6844-1-ND</t>
  </si>
  <si>
    <t>LQW15AN7N3G00D</t>
  </si>
  <si>
    <t>7.3n</t>
  </si>
  <si>
    <t>Inductor 7.3nH RF</t>
  </si>
  <si>
    <t>L3</t>
  </si>
  <si>
    <t>L5</t>
  </si>
  <si>
    <t>535-AANI-CH-0138-Q-TCT-ND</t>
  </si>
  <si>
    <t>Abracon</t>
  </si>
  <si>
    <t>AANI-CH-0138-Q-T</t>
  </si>
  <si>
    <t>7.0x2.0mm SMD</t>
  </si>
  <si>
    <t>2.4 GHz chip antenna</t>
  </si>
  <si>
    <t>AE1</t>
  </si>
  <si>
    <t>296-CC2340R52E0RGERCT-ND</t>
  </si>
  <si>
    <t>Texas Instruments</t>
  </si>
  <si>
    <t>CC2340R52E0RGER</t>
  </si>
  <si>
    <t>VQFN-24 4x4mm</t>
  </si>
  <si>
    <t>BLE SoC</t>
  </si>
  <si>
    <t>U1</t>
  </si>
  <si>
    <t>123-A-BAT-CH-C8-EA-ZSR3CT-ND</t>
  </si>
  <si>
    <t>Assmann WSW</t>
  </si>
  <si>
    <t>A-BAT-CH-C8-EA-ZSR3</t>
  </si>
  <si>
    <t>CR2032_Holder</t>
  </si>
  <si>
    <t>SMD</t>
  </si>
  <si>
    <t>CR2032 coin cell holder</t>
  </si>
  <si>
    <t>BT1</t>
  </si>
  <si>
    <t>PCB footprint is Renata SMTU2032-LF, not this holder - check before ordering</t>
  </si>
  <si>
    <t>H11891CT-ND</t>
  </si>
  <si>
    <t>Hirose</t>
  </si>
  <si>
    <t>U.FL-R-SMT-1(10)</t>
  </si>
  <si>
    <t>Conn_Coaxial_Small</t>
  </si>
  <si>
    <t>U.FL receptacle, vertical</t>
  </si>
  <si>
    <t>J1</t>
  </si>
  <si>
    <t>DNP on both boards (only for RF testing)</t>
  </si>
  <si>
    <t>296-47774-1-ND</t>
  </si>
  <si>
    <t>HDC2010YPAR</t>
  </si>
  <si>
    <t>HDC2010</t>
  </si>
  <si>
    <t>DSBGA-6</t>
  </si>
  <si>
    <t>Humidity/temp sensor</t>
  </si>
  <si>
    <t>U3</t>
  </si>
  <si>
    <t>1649-SHTC3-TR-2.5KSCT-ND</t>
  </si>
  <si>
    <t>Sensirion</t>
  </si>
  <si>
    <t>SHTC3-TR-2.5KS</t>
  </si>
  <si>
    <t>SHTC3</t>
  </si>
  <si>
    <t>DFN-4 2x2mm</t>
  </si>
  <si>
    <t>U2</t>
  </si>
  <si>
    <t>DNP on both boards (alternative to HDC2010)</t>
  </si>
  <si>
    <t>4823-NRF54L05-QFAA-RCT-ND</t>
  </si>
  <si>
    <t>Nordic Semiconductor</t>
  </si>
  <si>
    <t>NRF54L05-QFAA-R</t>
  </si>
  <si>
    <t>nRF54L05-QFXX</t>
  </si>
  <si>
    <t>QFN-48 6x6mm</t>
  </si>
  <si>
    <t>Subtotal</t>
  </si>
  <si>
    <t>Table 2 - AX parts</t>
  </si>
  <si>
    <t>AX no.</t>
  </si>
  <si>
    <t>73236</t>
  </si>
  <si>
    <t>100R@100MHz</t>
  </si>
  <si>
    <t>Ferrite bead</t>
  </si>
  <si>
    <t>FB1</t>
  </si>
  <si>
    <t>201003</t>
  </si>
  <si>
    <t>100k</t>
  </si>
  <si>
    <t>Resistor</t>
  </si>
  <si>
    <t>R3</t>
  </si>
  <si>
    <t>27726</t>
  </si>
  <si>
    <t>100n</t>
  </si>
  <si>
    <t>Capacitor</t>
  </si>
  <si>
    <t>C2,C3,C4,C11,C12,C17,C18</t>
  </si>
  <si>
    <t>C2,C3,C4,C5,C12,C13</t>
  </si>
  <si>
    <t>27204</t>
  </si>
  <si>
    <t>10u</t>
  </si>
  <si>
    <t>C1,C10</t>
  </si>
  <si>
    <t>C1</t>
  </si>
  <si>
    <t>73170</t>
  </si>
  <si>
    <t>Inductor</t>
  </si>
  <si>
    <t>201001</t>
  </si>
  <si>
    <t>1k</t>
  </si>
  <si>
    <t>R1</t>
  </si>
  <si>
    <t>27730</t>
  </si>
  <si>
    <t>1u</t>
  </si>
  <si>
    <t>C13</t>
  </si>
  <si>
    <t>204701</t>
  </si>
  <si>
    <t>4.7k</t>
  </si>
  <si>
    <t>R1,R2</t>
  </si>
  <si>
    <t>R2,R3</t>
  </si>
  <si>
    <t>Grand total</t>
  </si>
  <si>
    <t>1276-CL21A107MQYNNWECT-ND</t>
  </si>
  <si>
    <t>LQW15AN6N7G8ZD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</si>
</sst>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55555"/>
      <name val="Arial"/>
    </font>
    <font>
      <b/>
      <sz val="12"/>
      <name val="Arial"/>
    </font>
    <font>
      <sz val="10"/>
      <name val="Arial"/>
    </font>
    <font>
      <sz val="10"/>
      <color rgb="FF0000FF"/>
      <name val="Arial"/>
    </font>
    <font>
      <b/>
      <sz val="10"/>
      <color rgb="FFFFFFFF"/>
      <name val="Arial"/>
    </font>
    <font>
      <sz val="10"/>
      <color rgb="FFC0000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4" borderId="1" xfId="0" applyFont="1" applyFill="1" applyBorder="1"/>
    <xf numFmtId="4" fontId="8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1"/>
  <sheetViews>
    <sheetView tabSelected="1" topLeftCell="A3" workbookViewId="0">
      <selection activeCell="H38" sqref="H38"/>
    </sheetView>
  </sheetViews>
  <sheetFormatPr defaultRowHeight="15" x14ac:dyDescent="0.25"/>
  <cols>
    <col min="1" max="1" width="5" customWidth="1"/>
    <col min="2" max="2" width="32" customWidth="1"/>
    <col min="3" max="3" width="20" customWidth="1"/>
    <col min="4" max="4" width="24" customWidth="1"/>
    <col min="5" max="5" width="16" customWidth="1"/>
    <col min="6" max="6" width="17" customWidth="1"/>
    <col min="7" max="7" width="26" customWidth="1"/>
    <col min="8" max="8" width="22" customWidth="1"/>
    <col min="9" max="9" width="9" customWidth="1"/>
    <col min="10" max="10" width="22" customWidth="1"/>
    <col min="11" max="11" width="9" customWidth="1"/>
    <col min="12" max="13" width="10" customWidth="1"/>
    <col min="14" max="14" width="11" customWidth="1"/>
    <col min="15" max="15" width="12" customWidth="1"/>
    <col min="16" max="16" width="46" customWidth="1"/>
  </cols>
  <sheetData>
    <row r="1" spans="1:16" ht="18" x14ac:dyDescent="0.25">
      <c r="A1" s="1" t="s">
        <v>0</v>
      </c>
    </row>
    <row r="2" spans="1:16" x14ac:dyDescent="0.25">
      <c r="A2" s="2" t="s">
        <v>1</v>
      </c>
    </row>
    <row r="4" spans="1:16" ht="15.75" x14ac:dyDescent="0.25">
      <c r="A4" s="3" t="s">
        <v>2</v>
      </c>
    </row>
    <row r="5" spans="1:16" x14ac:dyDescent="0.25">
      <c r="A5" s="4" t="s">
        <v>3</v>
      </c>
      <c r="C5" s="5">
        <v>5</v>
      </c>
      <c r="D5" s="2" t="s">
        <v>4</v>
      </c>
    </row>
    <row r="6" spans="1:16" x14ac:dyDescent="0.25">
      <c r="A6" s="4" t="s">
        <v>5</v>
      </c>
      <c r="C6" s="5">
        <v>5</v>
      </c>
    </row>
    <row r="8" spans="1:16" ht="15.75" x14ac:dyDescent="0.25">
      <c r="A8" s="3" t="s">
        <v>6</v>
      </c>
    </row>
    <row r="9" spans="1:16" x14ac:dyDescent="0.25">
      <c r="A9" s="2" t="s">
        <v>7</v>
      </c>
    </row>
    <row r="11" spans="1:16" ht="15.75" x14ac:dyDescent="0.25">
      <c r="A11" s="3" t="s">
        <v>8</v>
      </c>
    </row>
    <row r="12" spans="1:16" ht="38.25" x14ac:dyDescent="0.25">
      <c r="A12" s="6" t="s">
        <v>9</v>
      </c>
      <c r="B12" s="6" t="s">
        <v>10</v>
      </c>
      <c r="C12" s="6" t="s">
        <v>11</v>
      </c>
      <c r="D12" s="6" t="s">
        <v>12</v>
      </c>
      <c r="E12" s="6" t="s">
        <v>13</v>
      </c>
      <c r="F12" s="6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</row>
    <row r="13" spans="1:16" x14ac:dyDescent="0.25">
      <c r="A13" s="7">
        <v>1</v>
      </c>
      <c r="B13" s="8" t="s">
        <v>25</v>
      </c>
      <c r="C13" s="8" t="s">
        <v>26</v>
      </c>
      <c r="D13" s="8" t="s">
        <v>27</v>
      </c>
      <c r="E13" s="8" t="s">
        <v>28</v>
      </c>
      <c r="F13" s="8" t="s">
        <v>29</v>
      </c>
      <c r="G13" s="8" t="s">
        <v>30</v>
      </c>
      <c r="H13" s="9"/>
      <c r="I13" s="7">
        <v>0</v>
      </c>
      <c r="J13" s="9" t="s">
        <v>31</v>
      </c>
      <c r="K13" s="7">
        <v>1</v>
      </c>
      <c r="L13" s="7">
        <f t="shared" ref="L13:L35" si="0">I13*$C$5+K13*$C$6</f>
        <v>5</v>
      </c>
      <c r="M13" s="10">
        <v>10</v>
      </c>
      <c r="N13" s="11">
        <v>0.52400000000000002</v>
      </c>
      <c r="O13" s="12">
        <f t="shared" ref="O13:O35" si="1">IF(OR(M13="",N13=""),"",M13*N13)</f>
        <v>5.24</v>
      </c>
      <c r="P13" s="9"/>
    </row>
    <row r="14" spans="1:16" x14ac:dyDescent="0.25">
      <c r="A14" s="7">
        <v>2</v>
      </c>
      <c r="B14" s="8" t="s">
        <v>32</v>
      </c>
      <c r="C14" s="8" t="s">
        <v>26</v>
      </c>
      <c r="D14" s="8" t="s">
        <v>33</v>
      </c>
      <c r="E14" s="8" t="s">
        <v>34</v>
      </c>
      <c r="F14" s="8" t="s">
        <v>29</v>
      </c>
      <c r="G14" s="8" t="s">
        <v>35</v>
      </c>
      <c r="H14" s="9" t="s">
        <v>36</v>
      </c>
      <c r="I14" s="7">
        <v>2</v>
      </c>
      <c r="J14" s="9" t="s">
        <v>37</v>
      </c>
      <c r="K14" s="7">
        <v>1</v>
      </c>
      <c r="L14" s="7">
        <f t="shared" si="0"/>
        <v>15</v>
      </c>
      <c r="M14" s="10">
        <v>20</v>
      </c>
      <c r="N14" s="11">
        <v>0.36</v>
      </c>
      <c r="O14" s="12">
        <f t="shared" si="1"/>
        <v>7.1999999999999993</v>
      </c>
      <c r="P14" s="9"/>
    </row>
    <row r="15" spans="1:16" x14ac:dyDescent="0.25">
      <c r="A15" s="7">
        <v>3</v>
      </c>
      <c r="B15" s="8" t="s">
        <v>192</v>
      </c>
      <c r="C15" s="8" t="s">
        <v>26</v>
      </c>
      <c r="D15" s="8" t="s">
        <v>38</v>
      </c>
      <c r="E15" s="8" t="s">
        <v>39</v>
      </c>
      <c r="F15" s="8" t="s">
        <v>40</v>
      </c>
      <c r="G15" s="8" t="s">
        <v>41</v>
      </c>
      <c r="H15" s="9" t="s">
        <v>42</v>
      </c>
      <c r="I15" s="7">
        <v>1</v>
      </c>
      <c r="J15" s="9" t="s">
        <v>43</v>
      </c>
      <c r="K15" s="7">
        <v>1</v>
      </c>
      <c r="L15" s="7">
        <f t="shared" si="0"/>
        <v>10</v>
      </c>
      <c r="M15" s="10">
        <v>10</v>
      </c>
      <c r="N15" s="11">
        <v>5.266</v>
      </c>
      <c r="O15" s="12">
        <f t="shared" si="1"/>
        <v>52.66</v>
      </c>
      <c r="P15" s="9"/>
    </row>
    <row r="16" spans="1:16" x14ac:dyDescent="0.25">
      <c r="A16" s="7">
        <v>4</v>
      </c>
      <c r="B16" s="8" t="s">
        <v>44</v>
      </c>
      <c r="C16" s="8" t="s">
        <v>26</v>
      </c>
      <c r="D16" s="8" t="s">
        <v>45</v>
      </c>
      <c r="E16" s="8" t="s">
        <v>46</v>
      </c>
      <c r="F16" s="8" t="s">
        <v>29</v>
      </c>
      <c r="G16" s="8" t="s">
        <v>47</v>
      </c>
      <c r="H16" s="9"/>
      <c r="I16" s="7">
        <v>0</v>
      </c>
      <c r="J16" s="9" t="s">
        <v>48</v>
      </c>
      <c r="K16" s="7">
        <v>2</v>
      </c>
      <c r="L16" s="7">
        <f t="shared" si="0"/>
        <v>10</v>
      </c>
      <c r="M16" s="10">
        <v>10</v>
      </c>
      <c r="N16" s="11">
        <v>0.14399999999999999</v>
      </c>
      <c r="O16" s="12">
        <f t="shared" si="1"/>
        <v>1.44</v>
      </c>
      <c r="P16" s="9"/>
    </row>
    <row r="17" spans="1:16" x14ac:dyDescent="0.25">
      <c r="A17" s="7">
        <v>5</v>
      </c>
      <c r="B17" s="8" t="s">
        <v>49</v>
      </c>
      <c r="C17" s="8" t="s">
        <v>26</v>
      </c>
      <c r="D17" s="8" t="s">
        <v>50</v>
      </c>
      <c r="E17" s="8" t="s">
        <v>51</v>
      </c>
      <c r="F17" s="8" t="s">
        <v>29</v>
      </c>
      <c r="G17" s="8" t="s">
        <v>52</v>
      </c>
      <c r="H17" s="9" t="s">
        <v>53</v>
      </c>
      <c r="I17" s="7">
        <v>1</v>
      </c>
      <c r="J17" s="9"/>
      <c r="K17" s="7">
        <v>0</v>
      </c>
      <c r="L17" s="7">
        <f t="shared" si="0"/>
        <v>5</v>
      </c>
      <c r="M17" s="10">
        <v>10</v>
      </c>
      <c r="N17" s="11">
        <v>0.498</v>
      </c>
      <c r="O17" s="12">
        <f t="shared" si="1"/>
        <v>4.9800000000000004</v>
      </c>
      <c r="P17" s="9"/>
    </row>
    <row r="18" spans="1:16" x14ac:dyDescent="0.25">
      <c r="A18" s="7">
        <v>6</v>
      </c>
      <c r="B18" s="8" t="s">
        <v>54</v>
      </c>
      <c r="C18" s="8" t="s">
        <v>26</v>
      </c>
      <c r="D18" s="8" t="s">
        <v>55</v>
      </c>
      <c r="E18" s="8" t="s">
        <v>56</v>
      </c>
      <c r="F18" s="8" t="s">
        <v>29</v>
      </c>
      <c r="G18" s="8" t="s">
        <v>57</v>
      </c>
      <c r="H18" s="9"/>
      <c r="I18" s="7">
        <v>0</v>
      </c>
      <c r="J18" s="9" t="s">
        <v>58</v>
      </c>
      <c r="K18" s="7">
        <v>1</v>
      </c>
      <c r="L18" s="7">
        <f t="shared" si="0"/>
        <v>5</v>
      </c>
      <c r="M18" s="10">
        <v>10</v>
      </c>
      <c r="N18" s="11">
        <v>0.52400000000000002</v>
      </c>
      <c r="O18" s="12">
        <f t="shared" si="1"/>
        <v>5.24</v>
      </c>
      <c r="P18" s="9"/>
    </row>
    <row r="19" spans="1:16" x14ac:dyDescent="0.25">
      <c r="A19" s="7">
        <v>7</v>
      </c>
      <c r="B19" s="8" t="s">
        <v>59</v>
      </c>
      <c r="C19" s="8" t="s">
        <v>60</v>
      </c>
      <c r="D19" s="8" t="s">
        <v>61</v>
      </c>
      <c r="E19" s="8" t="s">
        <v>62</v>
      </c>
      <c r="F19" s="8" t="s">
        <v>29</v>
      </c>
      <c r="G19" s="8" t="s">
        <v>63</v>
      </c>
      <c r="H19" s="9"/>
      <c r="I19" s="7">
        <v>0</v>
      </c>
      <c r="J19" s="9" t="s">
        <v>64</v>
      </c>
      <c r="K19" s="7">
        <v>2</v>
      </c>
      <c r="L19" s="7">
        <f t="shared" si="0"/>
        <v>10</v>
      </c>
      <c r="M19" s="10">
        <v>10</v>
      </c>
      <c r="N19" s="11">
        <v>0.76</v>
      </c>
      <c r="O19" s="12">
        <f t="shared" si="1"/>
        <v>7.6</v>
      </c>
      <c r="P19" s="9"/>
    </row>
    <row r="20" spans="1:16" x14ac:dyDescent="0.25">
      <c r="A20" s="7">
        <v>8</v>
      </c>
      <c r="B20" s="8" t="s">
        <v>65</v>
      </c>
      <c r="C20" s="8" t="s">
        <v>26</v>
      </c>
      <c r="D20" s="8" t="s">
        <v>66</v>
      </c>
      <c r="E20" s="8" t="s">
        <v>67</v>
      </c>
      <c r="F20" s="8" t="s">
        <v>29</v>
      </c>
      <c r="G20" s="8" t="s">
        <v>68</v>
      </c>
      <c r="H20" s="9"/>
      <c r="I20" s="7">
        <v>0</v>
      </c>
      <c r="J20" s="9" t="s">
        <v>69</v>
      </c>
      <c r="K20" s="7">
        <v>1</v>
      </c>
      <c r="L20" s="7">
        <f t="shared" si="0"/>
        <v>5</v>
      </c>
      <c r="M20" s="10">
        <v>10</v>
      </c>
      <c r="N20" s="11">
        <v>0.90400000000000003</v>
      </c>
      <c r="O20" s="12">
        <f t="shared" si="1"/>
        <v>9.0400000000000009</v>
      </c>
      <c r="P20" s="9"/>
    </row>
    <row r="21" spans="1:16" x14ac:dyDescent="0.25">
      <c r="A21" s="7">
        <v>9</v>
      </c>
      <c r="B21" s="8" t="s">
        <v>70</v>
      </c>
      <c r="C21" s="8" t="s">
        <v>26</v>
      </c>
      <c r="D21" s="8" t="s">
        <v>71</v>
      </c>
      <c r="E21" s="8" t="s">
        <v>72</v>
      </c>
      <c r="F21" s="8" t="s">
        <v>29</v>
      </c>
      <c r="G21" s="8" t="s">
        <v>73</v>
      </c>
      <c r="H21" s="9" t="s">
        <v>74</v>
      </c>
      <c r="I21" s="7">
        <v>1</v>
      </c>
      <c r="J21" s="9"/>
      <c r="K21" s="7">
        <v>0</v>
      </c>
      <c r="L21" s="7">
        <f t="shared" si="0"/>
        <v>5</v>
      </c>
      <c r="M21" s="10">
        <v>10</v>
      </c>
      <c r="N21" s="11">
        <v>0.878</v>
      </c>
      <c r="O21" s="12">
        <f t="shared" si="1"/>
        <v>8.7799999999999994</v>
      </c>
      <c r="P21" s="9"/>
    </row>
    <row r="22" spans="1:16" x14ac:dyDescent="0.25">
      <c r="A22" s="7">
        <v>10</v>
      </c>
      <c r="B22" s="8" t="s">
        <v>75</v>
      </c>
      <c r="C22" s="8" t="s">
        <v>26</v>
      </c>
      <c r="D22" s="8" t="s">
        <v>76</v>
      </c>
      <c r="E22" s="8" t="s">
        <v>77</v>
      </c>
      <c r="F22" s="8" t="s">
        <v>29</v>
      </c>
      <c r="G22" s="8" t="s">
        <v>78</v>
      </c>
      <c r="H22" s="9"/>
      <c r="I22" s="7">
        <v>0</v>
      </c>
      <c r="J22" s="9" t="s">
        <v>79</v>
      </c>
      <c r="K22" s="7">
        <v>2</v>
      </c>
      <c r="L22" s="7">
        <f t="shared" si="0"/>
        <v>10</v>
      </c>
      <c r="M22" s="10">
        <v>25</v>
      </c>
      <c r="N22" s="11">
        <v>0.83840000000000003</v>
      </c>
      <c r="O22" s="12">
        <f t="shared" si="1"/>
        <v>20.96</v>
      </c>
      <c r="P22" s="9"/>
    </row>
    <row r="23" spans="1:16" x14ac:dyDescent="0.25">
      <c r="A23" s="7">
        <v>11</v>
      </c>
      <c r="B23" s="8" t="s">
        <v>80</v>
      </c>
      <c r="C23" s="8" t="s">
        <v>81</v>
      </c>
      <c r="D23" s="8" t="s">
        <v>82</v>
      </c>
      <c r="E23" s="8" t="s">
        <v>83</v>
      </c>
      <c r="F23" s="8" t="s">
        <v>84</v>
      </c>
      <c r="G23" s="8" t="s">
        <v>85</v>
      </c>
      <c r="H23" s="9"/>
      <c r="I23" s="7">
        <v>1</v>
      </c>
      <c r="J23" s="9" t="s">
        <v>86</v>
      </c>
      <c r="K23" s="7">
        <v>1</v>
      </c>
      <c r="L23" s="7">
        <f t="shared" si="0"/>
        <v>10</v>
      </c>
      <c r="M23" s="10">
        <v>10</v>
      </c>
      <c r="N23" s="11">
        <v>2.4689999999999999</v>
      </c>
      <c r="O23" s="12">
        <f t="shared" si="1"/>
        <v>24.689999999999998</v>
      </c>
      <c r="P23" s="9"/>
    </row>
    <row r="24" spans="1:16" x14ac:dyDescent="0.25">
      <c r="A24" s="7">
        <v>12</v>
      </c>
      <c r="B24" s="8" t="s">
        <v>87</v>
      </c>
      <c r="C24" s="8" t="s">
        <v>88</v>
      </c>
      <c r="D24" s="8" t="s">
        <v>89</v>
      </c>
      <c r="E24" s="8" t="s">
        <v>90</v>
      </c>
      <c r="F24" s="8" t="s">
        <v>91</v>
      </c>
      <c r="G24" s="8" t="s">
        <v>92</v>
      </c>
      <c r="H24" s="9"/>
      <c r="I24" s="7">
        <v>0</v>
      </c>
      <c r="J24" s="9" t="s">
        <v>93</v>
      </c>
      <c r="K24" s="7">
        <v>1</v>
      </c>
      <c r="L24" s="7">
        <f t="shared" si="0"/>
        <v>5</v>
      </c>
      <c r="M24" s="10">
        <v>10</v>
      </c>
      <c r="N24" s="11">
        <v>1.9450000000000001</v>
      </c>
      <c r="O24" s="12">
        <f t="shared" si="1"/>
        <v>19.45</v>
      </c>
      <c r="P24" s="9"/>
    </row>
    <row r="25" spans="1:16" x14ac:dyDescent="0.25">
      <c r="A25" s="7">
        <v>13</v>
      </c>
      <c r="B25" s="8" t="s">
        <v>94</v>
      </c>
      <c r="C25" s="8" t="s">
        <v>26</v>
      </c>
      <c r="D25" s="8" t="s">
        <v>95</v>
      </c>
      <c r="E25" s="8" t="s">
        <v>96</v>
      </c>
      <c r="F25" s="8" t="s">
        <v>97</v>
      </c>
      <c r="G25" s="8" t="s">
        <v>98</v>
      </c>
      <c r="H25" s="9"/>
      <c r="I25" s="7">
        <v>0</v>
      </c>
      <c r="J25" s="9" t="s">
        <v>74</v>
      </c>
      <c r="K25" s="7">
        <v>1</v>
      </c>
      <c r="L25" s="7">
        <f t="shared" si="0"/>
        <v>5</v>
      </c>
      <c r="M25" s="10">
        <v>10</v>
      </c>
      <c r="N25" s="11">
        <v>1.3620000000000001</v>
      </c>
      <c r="O25" s="12">
        <f t="shared" si="1"/>
        <v>13.620000000000001</v>
      </c>
      <c r="P25" s="9"/>
    </row>
    <row r="26" spans="1:16" x14ac:dyDescent="0.25">
      <c r="A26" s="7">
        <v>14</v>
      </c>
      <c r="B26" s="8" t="s">
        <v>99</v>
      </c>
      <c r="C26" s="8" t="s">
        <v>100</v>
      </c>
      <c r="D26" s="8" t="s">
        <v>101</v>
      </c>
      <c r="E26" s="8" t="s">
        <v>102</v>
      </c>
      <c r="F26" s="8" t="s">
        <v>91</v>
      </c>
      <c r="G26" s="8" t="s">
        <v>103</v>
      </c>
      <c r="H26" s="9" t="s">
        <v>93</v>
      </c>
      <c r="I26" s="7">
        <v>1</v>
      </c>
      <c r="J26" s="9"/>
      <c r="K26" s="7">
        <v>0</v>
      </c>
      <c r="L26" s="7">
        <f t="shared" si="0"/>
        <v>5</v>
      </c>
      <c r="M26" s="10">
        <v>10</v>
      </c>
      <c r="N26" s="11">
        <v>2.7709999999999999</v>
      </c>
      <c r="O26" s="12">
        <f t="shared" si="1"/>
        <v>27.71</v>
      </c>
      <c r="P26" s="9"/>
    </row>
    <row r="27" spans="1:16" x14ac:dyDescent="0.25">
      <c r="A27" s="7">
        <v>15</v>
      </c>
      <c r="B27" s="8" t="s">
        <v>193</v>
      </c>
      <c r="C27" s="8" t="s">
        <v>26</v>
      </c>
      <c r="D27" s="8" t="s">
        <v>104</v>
      </c>
      <c r="E27" s="8" t="s">
        <v>105</v>
      </c>
      <c r="F27" s="8" t="s">
        <v>29</v>
      </c>
      <c r="G27" s="8" t="s">
        <v>106</v>
      </c>
      <c r="H27" s="9" t="s">
        <v>69</v>
      </c>
      <c r="I27" s="7">
        <v>1</v>
      </c>
      <c r="J27" s="9" t="s">
        <v>107</v>
      </c>
      <c r="K27" s="7">
        <v>1</v>
      </c>
      <c r="L27" s="7">
        <f t="shared" si="0"/>
        <v>10</v>
      </c>
      <c r="M27" s="10">
        <v>25</v>
      </c>
      <c r="N27" s="11">
        <v>0.83840000000000003</v>
      </c>
      <c r="O27" s="12">
        <f t="shared" si="1"/>
        <v>20.96</v>
      </c>
      <c r="P27" s="9"/>
    </row>
    <row r="28" spans="1:16" x14ac:dyDescent="0.25">
      <c r="A28" s="7">
        <v>16</v>
      </c>
      <c r="B28" s="8" t="s">
        <v>108</v>
      </c>
      <c r="C28" s="8" t="s">
        <v>26</v>
      </c>
      <c r="D28" s="8" t="s">
        <v>109</v>
      </c>
      <c r="E28" s="8" t="s">
        <v>110</v>
      </c>
      <c r="F28" s="8" t="s">
        <v>29</v>
      </c>
      <c r="G28" s="8" t="s">
        <v>111</v>
      </c>
      <c r="H28" s="9" t="s">
        <v>112</v>
      </c>
      <c r="I28" s="7">
        <v>1</v>
      </c>
      <c r="J28" s="9" t="s">
        <v>113</v>
      </c>
      <c r="K28" s="7">
        <v>1</v>
      </c>
      <c r="L28" s="7">
        <f t="shared" si="0"/>
        <v>10</v>
      </c>
      <c r="M28" s="10">
        <v>25</v>
      </c>
      <c r="N28" s="11">
        <v>0.629</v>
      </c>
      <c r="O28" s="12">
        <f t="shared" si="1"/>
        <v>15.725</v>
      </c>
      <c r="P28" s="9"/>
    </row>
    <row r="29" spans="1:16" x14ac:dyDescent="0.25">
      <c r="A29" s="7">
        <v>17</v>
      </c>
      <c r="B29" s="8" t="s">
        <v>114</v>
      </c>
      <c r="C29" s="8" t="s">
        <v>115</v>
      </c>
      <c r="D29" s="8" t="s">
        <v>116</v>
      </c>
      <c r="E29" s="8" t="s">
        <v>116</v>
      </c>
      <c r="F29" s="8" t="s">
        <v>117</v>
      </c>
      <c r="G29" s="8" t="s">
        <v>118</v>
      </c>
      <c r="H29" s="9" t="s">
        <v>119</v>
      </c>
      <c r="I29" s="7">
        <v>1</v>
      </c>
      <c r="J29" s="9" t="s">
        <v>119</v>
      </c>
      <c r="K29" s="7">
        <v>1</v>
      </c>
      <c r="L29" s="7">
        <f t="shared" si="0"/>
        <v>10</v>
      </c>
      <c r="M29" s="10">
        <v>10</v>
      </c>
      <c r="N29" s="11">
        <v>5.1420000000000003</v>
      </c>
      <c r="O29" s="12">
        <f t="shared" si="1"/>
        <v>51.42</v>
      </c>
      <c r="P29" s="9"/>
    </row>
    <row r="30" spans="1:16" x14ac:dyDescent="0.25">
      <c r="A30" s="7">
        <v>18</v>
      </c>
      <c r="B30" s="8" t="s">
        <v>120</v>
      </c>
      <c r="C30" s="8" t="s">
        <v>121</v>
      </c>
      <c r="D30" s="8" t="s">
        <v>122</v>
      </c>
      <c r="E30" s="8" t="s">
        <v>122</v>
      </c>
      <c r="F30" s="8" t="s">
        <v>123</v>
      </c>
      <c r="G30" s="8" t="s">
        <v>124</v>
      </c>
      <c r="H30" s="9" t="s">
        <v>125</v>
      </c>
      <c r="I30" s="7">
        <v>1</v>
      </c>
      <c r="J30" s="9"/>
      <c r="K30" s="7">
        <v>0</v>
      </c>
      <c r="L30" s="7">
        <f t="shared" si="0"/>
        <v>5</v>
      </c>
      <c r="M30" s="10">
        <v>10</v>
      </c>
      <c r="N30" s="11">
        <v>17.940000000000001</v>
      </c>
      <c r="O30" s="12">
        <f t="shared" si="1"/>
        <v>179.4</v>
      </c>
      <c r="P30" s="9"/>
    </row>
    <row r="31" spans="1:16" ht="25.5" x14ac:dyDescent="0.25">
      <c r="A31" s="7">
        <v>19</v>
      </c>
      <c r="B31" s="8" t="s">
        <v>126</v>
      </c>
      <c r="C31" s="8" t="s">
        <v>127</v>
      </c>
      <c r="D31" s="8" t="s">
        <v>128</v>
      </c>
      <c r="E31" s="8" t="s">
        <v>129</v>
      </c>
      <c r="F31" s="8" t="s">
        <v>130</v>
      </c>
      <c r="G31" s="8" t="s">
        <v>131</v>
      </c>
      <c r="H31" s="9" t="s">
        <v>132</v>
      </c>
      <c r="I31" s="7">
        <v>1</v>
      </c>
      <c r="J31" s="9" t="s">
        <v>132</v>
      </c>
      <c r="K31" s="7">
        <v>1</v>
      </c>
      <c r="L31" s="7">
        <f t="shared" si="0"/>
        <v>10</v>
      </c>
      <c r="M31" s="10">
        <v>10</v>
      </c>
      <c r="N31" s="11">
        <v>3.5369999999999999</v>
      </c>
      <c r="O31" s="12">
        <f t="shared" si="1"/>
        <v>35.369999999999997</v>
      </c>
      <c r="P31" s="13" t="s">
        <v>133</v>
      </c>
    </row>
    <row r="32" spans="1:16" x14ac:dyDescent="0.25">
      <c r="A32" s="7">
        <v>20</v>
      </c>
      <c r="B32" s="8" t="s">
        <v>134</v>
      </c>
      <c r="C32" s="8" t="s">
        <v>135</v>
      </c>
      <c r="D32" s="8" t="s">
        <v>136</v>
      </c>
      <c r="E32" s="8" t="s">
        <v>137</v>
      </c>
      <c r="F32" s="8" t="s">
        <v>130</v>
      </c>
      <c r="G32" s="8" t="s">
        <v>138</v>
      </c>
      <c r="H32" s="9" t="s">
        <v>139</v>
      </c>
      <c r="I32" s="7">
        <v>1</v>
      </c>
      <c r="J32" s="9" t="s">
        <v>139</v>
      </c>
      <c r="K32" s="7">
        <v>1</v>
      </c>
      <c r="L32" s="7">
        <f t="shared" si="0"/>
        <v>10</v>
      </c>
      <c r="M32" s="10">
        <v>10</v>
      </c>
      <c r="N32" s="11">
        <v>9.2810000000000006</v>
      </c>
      <c r="O32" s="12">
        <f t="shared" si="1"/>
        <v>92.81</v>
      </c>
      <c r="P32" s="13" t="s">
        <v>140</v>
      </c>
    </row>
    <row r="33" spans="1:16" x14ac:dyDescent="0.25">
      <c r="A33" s="7">
        <v>21</v>
      </c>
      <c r="B33" s="8" t="s">
        <v>141</v>
      </c>
      <c r="C33" s="8" t="s">
        <v>121</v>
      </c>
      <c r="D33" s="8" t="s">
        <v>142</v>
      </c>
      <c r="E33" s="8" t="s">
        <v>143</v>
      </c>
      <c r="F33" s="8" t="s">
        <v>144</v>
      </c>
      <c r="G33" s="8" t="s">
        <v>145</v>
      </c>
      <c r="H33" s="9" t="s">
        <v>146</v>
      </c>
      <c r="I33" s="7">
        <v>1</v>
      </c>
      <c r="J33" s="9" t="s">
        <v>146</v>
      </c>
      <c r="K33" s="7">
        <v>1</v>
      </c>
      <c r="L33" s="7">
        <f t="shared" si="0"/>
        <v>10</v>
      </c>
      <c r="M33" s="10">
        <v>25</v>
      </c>
      <c r="N33" s="11">
        <v>9.5419999999999998</v>
      </c>
      <c r="O33" s="12">
        <f t="shared" si="1"/>
        <v>238.54999999999998</v>
      </c>
      <c r="P33" s="9"/>
    </row>
    <row r="34" spans="1:16" x14ac:dyDescent="0.25">
      <c r="A34" s="7">
        <v>22</v>
      </c>
      <c r="B34" s="8" t="s">
        <v>147</v>
      </c>
      <c r="C34" s="8" t="s">
        <v>148</v>
      </c>
      <c r="D34" s="8" t="s">
        <v>149</v>
      </c>
      <c r="E34" s="8" t="s">
        <v>150</v>
      </c>
      <c r="F34" s="8" t="s">
        <v>151</v>
      </c>
      <c r="G34" s="8" t="s">
        <v>145</v>
      </c>
      <c r="H34" s="9" t="s">
        <v>152</v>
      </c>
      <c r="I34" s="7">
        <v>1</v>
      </c>
      <c r="J34" s="9" t="s">
        <v>152</v>
      </c>
      <c r="K34" s="7">
        <v>1</v>
      </c>
      <c r="L34" s="7">
        <f t="shared" si="0"/>
        <v>10</v>
      </c>
      <c r="M34" s="10">
        <v>5</v>
      </c>
      <c r="N34" s="11">
        <v>12.484</v>
      </c>
      <c r="O34" s="12">
        <f t="shared" si="1"/>
        <v>62.42</v>
      </c>
      <c r="P34" s="13" t="s">
        <v>153</v>
      </c>
    </row>
    <row r="35" spans="1:16" x14ac:dyDescent="0.25">
      <c r="A35" s="7">
        <v>23</v>
      </c>
      <c r="B35" s="8" t="s">
        <v>154</v>
      </c>
      <c r="C35" s="8" t="s">
        <v>155</v>
      </c>
      <c r="D35" s="8" t="s">
        <v>156</v>
      </c>
      <c r="E35" s="8" t="s">
        <v>157</v>
      </c>
      <c r="F35" s="8" t="s">
        <v>158</v>
      </c>
      <c r="G35" s="8" t="s">
        <v>124</v>
      </c>
      <c r="H35" s="9"/>
      <c r="I35" s="7">
        <v>0</v>
      </c>
      <c r="J35" s="9" t="s">
        <v>125</v>
      </c>
      <c r="K35" s="7">
        <v>1</v>
      </c>
      <c r="L35" s="7">
        <f t="shared" si="0"/>
        <v>5</v>
      </c>
      <c r="M35" s="10">
        <v>10</v>
      </c>
      <c r="N35" s="11">
        <v>21.51</v>
      </c>
      <c r="O35" s="12">
        <f t="shared" si="1"/>
        <v>215.10000000000002</v>
      </c>
      <c r="P35" s="9"/>
    </row>
    <row r="36" spans="1:16" x14ac:dyDescent="0.25">
      <c r="N36" s="14" t="s">
        <v>159</v>
      </c>
      <c r="O36" s="15">
        <f>SUM(O13:O35)</f>
        <v>1120.365</v>
      </c>
    </row>
    <row r="39" spans="1:16" ht="15.75" x14ac:dyDescent="0.25">
      <c r="A39" s="3" t="s">
        <v>160</v>
      </c>
    </row>
    <row r="40" spans="1:16" ht="38.25" x14ac:dyDescent="0.25">
      <c r="A40" s="6" t="s">
        <v>9</v>
      </c>
      <c r="B40" s="6" t="s">
        <v>161</v>
      </c>
      <c r="C40" s="6"/>
      <c r="D40" s="6"/>
      <c r="E40" s="6" t="s">
        <v>13</v>
      </c>
      <c r="F40" s="6" t="s">
        <v>14</v>
      </c>
      <c r="G40" s="6" t="s">
        <v>15</v>
      </c>
      <c r="H40" s="6" t="s">
        <v>16</v>
      </c>
      <c r="I40" s="6" t="s">
        <v>17</v>
      </c>
      <c r="J40" s="6" t="s">
        <v>18</v>
      </c>
      <c r="K40" s="6" t="s">
        <v>19</v>
      </c>
      <c r="L40" s="6" t="s">
        <v>20</v>
      </c>
      <c r="M40" s="6" t="s">
        <v>21</v>
      </c>
      <c r="N40" s="6" t="s">
        <v>22</v>
      </c>
      <c r="O40" s="6" t="s">
        <v>23</v>
      </c>
      <c r="P40" s="6" t="s">
        <v>24</v>
      </c>
    </row>
    <row r="41" spans="1:16" x14ac:dyDescent="0.25">
      <c r="A41" s="7">
        <v>1</v>
      </c>
      <c r="B41" s="8" t="s">
        <v>162</v>
      </c>
      <c r="C41" s="8"/>
      <c r="D41" s="8"/>
      <c r="E41" s="8" t="s">
        <v>163</v>
      </c>
      <c r="F41" s="8" t="s">
        <v>97</v>
      </c>
      <c r="G41" s="8" t="s">
        <v>164</v>
      </c>
      <c r="H41" s="9"/>
      <c r="I41" s="7">
        <v>0</v>
      </c>
      <c r="J41" s="9" t="s">
        <v>165</v>
      </c>
      <c r="K41" s="7">
        <v>1</v>
      </c>
      <c r="L41" s="7">
        <f t="shared" ref="L41:L48" si="2">I41*$C$5+K41*$C$6</f>
        <v>5</v>
      </c>
      <c r="M41" s="10"/>
      <c r="N41" s="11"/>
      <c r="O41" s="12" t="str">
        <f t="shared" ref="O41:O48" si="3">IF(OR(M41="",N41=""),"",M41*N41)</f>
        <v/>
      </c>
      <c r="P41" s="9"/>
    </row>
    <row r="42" spans="1:16" x14ac:dyDescent="0.25">
      <c r="A42" s="7">
        <v>2</v>
      </c>
      <c r="B42" s="8" t="s">
        <v>166</v>
      </c>
      <c r="C42" s="8"/>
      <c r="D42" s="8"/>
      <c r="E42" s="8" t="s">
        <v>167</v>
      </c>
      <c r="F42" s="8" t="s">
        <v>29</v>
      </c>
      <c r="G42" s="8" t="s">
        <v>168</v>
      </c>
      <c r="H42" s="9" t="s">
        <v>169</v>
      </c>
      <c r="I42" s="7">
        <v>1</v>
      </c>
      <c r="J42" s="9"/>
      <c r="K42" s="7">
        <v>0</v>
      </c>
      <c r="L42" s="7">
        <f t="shared" si="2"/>
        <v>5</v>
      </c>
      <c r="M42" s="10"/>
      <c r="N42" s="11"/>
      <c r="O42" s="12" t="str">
        <f t="shared" si="3"/>
        <v/>
      </c>
      <c r="P42" s="9"/>
    </row>
    <row r="43" spans="1:16" ht="25.5" x14ac:dyDescent="0.25">
      <c r="A43" s="7">
        <v>3</v>
      </c>
      <c r="B43" s="8" t="s">
        <v>170</v>
      </c>
      <c r="C43" s="8"/>
      <c r="D43" s="8"/>
      <c r="E43" s="8" t="s">
        <v>171</v>
      </c>
      <c r="F43" s="8" t="s">
        <v>29</v>
      </c>
      <c r="G43" s="8" t="s">
        <v>172</v>
      </c>
      <c r="H43" s="9" t="s">
        <v>173</v>
      </c>
      <c r="I43" s="7">
        <v>7</v>
      </c>
      <c r="J43" s="9" t="s">
        <v>174</v>
      </c>
      <c r="K43" s="7">
        <v>6</v>
      </c>
      <c r="L43" s="7">
        <f t="shared" si="2"/>
        <v>65</v>
      </c>
      <c r="M43" s="10"/>
      <c r="N43" s="11"/>
      <c r="O43" s="12" t="str">
        <f t="shared" si="3"/>
        <v/>
      </c>
      <c r="P43" s="9"/>
    </row>
    <row r="44" spans="1:16" x14ac:dyDescent="0.25">
      <c r="A44" s="7">
        <v>4</v>
      </c>
      <c r="B44" s="8" t="s">
        <v>175</v>
      </c>
      <c r="C44" s="8"/>
      <c r="D44" s="8"/>
      <c r="E44" s="8" t="s">
        <v>176</v>
      </c>
      <c r="F44" s="8" t="s">
        <v>97</v>
      </c>
      <c r="G44" s="8" t="s">
        <v>172</v>
      </c>
      <c r="H44" s="9" t="s">
        <v>177</v>
      </c>
      <c r="I44" s="7">
        <v>2</v>
      </c>
      <c r="J44" s="9" t="s">
        <v>178</v>
      </c>
      <c r="K44" s="7">
        <v>1</v>
      </c>
      <c r="L44" s="7">
        <f t="shared" si="2"/>
        <v>15</v>
      </c>
      <c r="M44" s="10"/>
      <c r="N44" s="11"/>
      <c r="O44" s="12" t="str">
        <f t="shared" si="3"/>
        <v/>
      </c>
      <c r="P44" s="9"/>
    </row>
    <row r="45" spans="1:16" x14ac:dyDescent="0.25">
      <c r="A45" s="7">
        <v>5</v>
      </c>
      <c r="B45" s="8" t="s">
        <v>179</v>
      </c>
      <c r="C45" s="8"/>
      <c r="D45" s="8"/>
      <c r="E45" s="8" t="s">
        <v>176</v>
      </c>
      <c r="F45" s="8" t="s">
        <v>97</v>
      </c>
      <c r="G45" s="8" t="s">
        <v>180</v>
      </c>
      <c r="H45" s="9" t="s">
        <v>113</v>
      </c>
      <c r="I45" s="7">
        <v>1</v>
      </c>
      <c r="J45" s="9"/>
      <c r="K45" s="7">
        <v>0</v>
      </c>
      <c r="L45" s="7">
        <f t="shared" si="2"/>
        <v>5</v>
      </c>
      <c r="M45" s="10"/>
      <c r="N45" s="11"/>
      <c r="O45" s="12" t="str">
        <f t="shared" si="3"/>
        <v/>
      </c>
      <c r="P45" s="9"/>
    </row>
    <row r="46" spans="1:16" x14ac:dyDescent="0.25">
      <c r="A46" s="7">
        <v>6</v>
      </c>
      <c r="B46" s="8" t="s">
        <v>181</v>
      </c>
      <c r="C46" s="8"/>
      <c r="D46" s="8"/>
      <c r="E46" s="8" t="s">
        <v>182</v>
      </c>
      <c r="F46" s="8" t="s">
        <v>29</v>
      </c>
      <c r="G46" s="8" t="s">
        <v>168</v>
      </c>
      <c r="H46" s="9"/>
      <c r="I46" s="7">
        <v>0</v>
      </c>
      <c r="J46" s="9" t="s">
        <v>183</v>
      </c>
      <c r="K46" s="7">
        <v>1</v>
      </c>
      <c r="L46" s="7">
        <f t="shared" si="2"/>
        <v>5</v>
      </c>
      <c r="M46" s="10"/>
      <c r="N46" s="11"/>
      <c r="O46" s="12" t="str">
        <f t="shared" si="3"/>
        <v/>
      </c>
      <c r="P46" s="9"/>
    </row>
    <row r="47" spans="1:16" x14ac:dyDescent="0.25">
      <c r="A47" s="7">
        <v>7</v>
      </c>
      <c r="B47" s="8" t="s">
        <v>184</v>
      </c>
      <c r="C47" s="8"/>
      <c r="D47" s="8"/>
      <c r="E47" s="8" t="s">
        <v>185</v>
      </c>
      <c r="F47" s="8" t="s">
        <v>29</v>
      </c>
      <c r="G47" s="8" t="s">
        <v>172</v>
      </c>
      <c r="H47" s="9" t="s">
        <v>186</v>
      </c>
      <c r="I47" s="7">
        <v>1</v>
      </c>
      <c r="J47" s="9"/>
      <c r="K47" s="7">
        <v>0</v>
      </c>
      <c r="L47" s="7">
        <f t="shared" si="2"/>
        <v>5</v>
      </c>
      <c r="M47" s="10"/>
      <c r="N47" s="11"/>
      <c r="O47" s="12" t="str">
        <f t="shared" si="3"/>
        <v/>
      </c>
      <c r="P47" s="9"/>
    </row>
    <row r="48" spans="1:16" x14ac:dyDescent="0.25">
      <c r="A48" s="7">
        <v>8</v>
      </c>
      <c r="B48" s="8" t="s">
        <v>187</v>
      </c>
      <c r="C48" s="8"/>
      <c r="D48" s="8"/>
      <c r="E48" s="8" t="s">
        <v>188</v>
      </c>
      <c r="F48" s="8" t="s">
        <v>29</v>
      </c>
      <c r="G48" s="8" t="s">
        <v>168</v>
      </c>
      <c r="H48" s="9" t="s">
        <v>189</v>
      </c>
      <c r="I48" s="7">
        <v>2</v>
      </c>
      <c r="J48" s="9" t="s">
        <v>190</v>
      </c>
      <c r="K48" s="7">
        <v>2</v>
      </c>
      <c r="L48" s="7">
        <f t="shared" si="2"/>
        <v>20</v>
      </c>
      <c r="M48" s="10"/>
      <c r="N48" s="11"/>
      <c r="O48" s="12" t="str">
        <f t="shared" si="3"/>
        <v/>
      </c>
      <c r="P48" s="9"/>
    </row>
    <row r="49" spans="14:15" x14ac:dyDescent="0.25">
      <c r="N49" s="14" t="s">
        <v>159</v>
      </c>
      <c r="O49" s="15">
        <f>SUM(O41:O48)</f>
        <v>0</v>
      </c>
    </row>
    <row r="51" spans="14:15" x14ac:dyDescent="0.25">
      <c r="N51" s="14" t="s">
        <v>191</v>
      </c>
      <c r="O51" s="15">
        <f>O36+O49</f>
        <v>1120.365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Stanislaw Basiuk</cp:lastModifiedBy>
  <dcterms:created xsi:type="dcterms:W3CDTF">2026-10-08T11:24:53Z</dcterms:created>
  <dcterms:modified xsi:type="dcterms:W3CDTF">2026-10-08T11:59:55Z</dcterms:modified>
</cp:coreProperties>
</file>